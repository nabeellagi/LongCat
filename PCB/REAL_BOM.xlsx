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E" sheetId="1" r:id="rId5"/>
    <sheet state="visible" name="POWERBANK" sheetId="2" r:id="rId6"/>
  </sheets>
  <definedNames/>
  <calcPr/>
</workbook>
</file>

<file path=xl/sharedStrings.xml><?xml version="1.0" encoding="utf-8"?>
<sst xmlns="http://schemas.openxmlformats.org/spreadsheetml/2006/main" count="151" uniqueCount="135">
  <si>
    <t>Number</t>
  </si>
  <si>
    <t>Item</t>
  </si>
  <si>
    <t>Description</t>
  </si>
  <si>
    <t>Quantity</t>
  </si>
  <si>
    <t>Unit Price ($)</t>
  </si>
  <si>
    <t>Total Price ($)</t>
  </si>
  <si>
    <t>URL</t>
  </si>
  <si>
    <t>Running Total ($ with Tax)</t>
  </si>
  <si>
    <t>ESPRESSIF ESP32-C6-WROOM-1-N8</t>
  </si>
  <si>
    <t>ESP32 Chip</t>
  </si>
  <si>
    <t>https://www.lcsc.com/product-detail/C5366877.html</t>
  </si>
  <si>
    <t>TECH PUBLIC TPESD9B3.3ST5G</t>
  </si>
  <si>
    <t>Diode</t>
  </si>
  <si>
    <t>https://www.lcsc.com/product-detail/C2682285.html</t>
  </si>
  <si>
    <t>TECH PUBLIC USBLC6-2SC6</t>
  </si>
  <si>
    <t>Transient Voltage Supressor</t>
  </si>
  <si>
    <t>https://www.lcsc.com/product-detail/C2827654.html</t>
  </si>
  <si>
    <t>BZCN TSC016A04518A</t>
  </si>
  <si>
    <t>Tactile Switches for console button</t>
  </si>
  <si>
    <t>https://www.lcsc.com/product-detail/C2888493.html</t>
  </si>
  <si>
    <t>TI LM1117MP-3.3</t>
  </si>
  <si>
    <t>Voltage Regulators</t>
  </si>
  <si>
    <t>https://www.lcsc.com/product-detail/C3750685.html</t>
  </si>
  <si>
    <t>XHXDZ 1207-P6.5MM</t>
  </si>
  <si>
    <t>Buzzer</t>
  </si>
  <si>
    <t>https://www.lcsc.com/product-detail/C49246964.html</t>
  </si>
  <si>
    <t>1N5817W</t>
  </si>
  <si>
    <t>DIODE SCHOTTKY</t>
  </si>
  <si>
    <t>https://www.lcsc.com/product-detail/C727113.html</t>
  </si>
  <si>
    <t>MMBT2222A</t>
  </si>
  <si>
    <t>Bipolar Transistor</t>
  </si>
  <si>
    <t>https://www.lcsc.com/product-detail/C7420351.html</t>
  </si>
  <si>
    <t>HS HS13L03W2C01</t>
  </si>
  <si>
    <t>1.3" OLED</t>
  </si>
  <si>
    <t>https://www.lcsc.com/product-detail/C7465997.html</t>
  </si>
  <si>
    <t>muRata BLM21PG220SN1D</t>
  </si>
  <si>
    <t>Ferrite Beads and Chips</t>
  </si>
  <si>
    <t>https://www.lcsc.com/product-detail/C88993.html</t>
  </si>
  <si>
    <t>Resistor 1kΩ</t>
  </si>
  <si>
    <t>R6</t>
  </si>
  <si>
    <t>https://www.lcsc.com/product-detail/C11702.html</t>
  </si>
  <si>
    <t>Capacitor 100nF</t>
  </si>
  <si>
    <t>C2, C5</t>
  </si>
  <si>
    <t>https://www.lcsc.com/product-detail/C1525.html</t>
  </si>
  <si>
    <t>Capacitor 1uF</t>
  </si>
  <si>
    <t>C3, C4</t>
  </si>
  <si>
    <t>https://www.lcsc.com/product-detail/C15849.html</t>
  </si>
  <si>
    <t>Korean Hroparts Elec TYPE-C-31-M-12</t>
  </si>
  <si>
    <t>USB C Input</t>
  </si>
  <si>
    <t>https://www.lcsc.com/product-detail/C165948.html</t>
  </si>
  <si>
    <t>Capacitor 10uF</t>
  </si>
  <si>
    <t>C1</t>
  </si>
  <si>
    <t>https://www.lcsc.com/product-detail/C19702.html</t>
  </si>
  <si>
    <t>B3U-1000P</t>
  </si>
  <si>
    <t>ESP32 buttons</t>
  </si>
  <si>
    <t>https://www.lcsc.com/product-detail/C231329.html</t>
  </si>
  <si>
    <t>Resistor 2.2kΩ</t>
  </si>
  <si>
    <t>R7, R8</t>
  </si>
  <si>
    <t>https://www.lcsc.com/product-detail/C25879.html</t>
  </si>
  <si>
    <t>Resistor 5.1kΩ</t>
  </si>
  <si>
    <t>R4, R5</t>
  </si>
  <si>
    <t>https://www.lcsc.com/product-detail/C25905.html</t>
  </si>
  <si>
    <t>Capacitor 22uF</t>
  </si>
  <si>
    <t>C6, C7</t>
  </si>
  <si>
    <t>https://www.lcsc.com/product-detail/C45783.html</t>
  </si>
  <si>
    <t>R+O SMD1206-050-30</t>
  </si>
  <si>
    <t>Reset Fuse</t>
  </si>
  <si>
    <t>https://www.lcsc.com/product-detail/C46641016.html</t>
  </si>
  <si>
    <t>ZHOURI 2.54-2*3</t>
  </si>
  <si>
    <t>Pin Header</t>
  </si>
  <si>
    <t>https://www.lcsc.com/product-detail/C5116479.html</t>
  </si>
  <si>
    <t>Resistor 10kΩ</t>
  </si>
  <si>
    <t>R1,R2,R3</t>
  </si>
  <si>
    <t>https://www.lcsc.com/product-detail/C60490.html</t>
  </si>
  <si>
    <t>TPOWER TP4056</t>
  </si>
  <si>
    <t>Charging Module</t>
  </si>
  <si>
    <t>https://www.lcsc.com/product-detail/C382139.html?globalKeyword=C382139&amp;s_z=n_q_C382139</t>
  </si>
  <si>
    <t>PUOLOP DW01A</t>
  </si>
  <si>
    <t>Battery protection, prevents overcharging</t>
  </si>
  <si>
    <t>https://www.lcsc.com/product-detail/C351410.html?globalKeyword=C351410&amp;s_z=n_q_C351410</t>
  </si>
  <si>
    <t>XI'AN Aerosemi Tech MT3608</t>
  </si>
  <si>
    <t xml:space="preserve">Boost Step-Up Regulator </t>
  </si>
  <si>
    <t>https://www.lcsc.com/product-detail/C84817.html?globalKeyword=C84817&amp;s_z=n_q_C84817</t>
  </si>
  <si>
    <t>TECH PUBLIC FS8205A</t>
  </si>
  <si>
    <t>LiPo Battery Protection</t>
  </si>
  <si>
    <t>https://www.lcsc.com/product-detail/C2830320.html?globalKeyword=C2830320&amp;s_z=n_q_C2830320</t>
  </si>
  <si>
    <t>SHOU HAN TYPE-C 16PIN 2MD(073)</t>
  </si>
  <si>
    <t>USB C Input and Output</t>
  </si>
  <si>
    <t>https://www.lcsc.com/product-detail/C2765186.html?globalKeyword=C2765186&amp;s_z=n_q_C2765186</t>
  </si>
  <si>
    <t>Hubei KENTO Elec KT-0603R</t>
  </si>
  <si>
    <t>Red Led</t>
  </si>
  <si>
    <t>https://www.lcsc.com/product-detail/C2286.html?globalKeyword=C2286&amp;s_z=n_q_C2286</t>
  </si>
  <si>
    <t>Hubei KENTO Elec KT-0805G</t>
  </si>
  <si>
    <t>Green Led</t>
  </si>
  <si>
    <t>https://www.lcsc.com/product-detail/C2297.html?globalKeyword=C2297&amp;s_z=n_q_C2297</t>
  </si>
  <si>
    <t>EVERLIGHT 19-213/BHC-ZL1M2RY/5T</t>
  </si>
  <si>
    <t>Blue Led</t>
  </si>
  <si>
    <t>https://www.lcsc.com/product-detail/C2987539.html?globalKeyword=C2987539&amp;s_z=n_q_C2987539</t>
  </si>
  <si>
    <t>cjiang FXL0420-4R7-M</t>
  </si>
  <si>
    <t>Inductor</t>
  </si>
  <si>
    <t>https://www.lcsc.com/product-detail/C167208.html?globalKeyword=C167208&amp;s_z=n_q_C167208</t>
  </si>
  <si>
    <t>JST S2B-PH-SM4-TB(LF)(SN)</t>
  </si>
  <si>
    <t>JST Pin for Battery</t>
  </si>
  <si>
    <t>https://www.lcsc.com/product-detail/C295747.html?globalKeyword=C295747&amp;s_z=n_q_C295747</t>
  </si>
  <si>
    <t>LiPo 104050 2000mAh 3.7V</t>
  </si>
  <si>
    <t>Battery</t>
  </si>
  <si>
    <t>https://tk.tokopedia.com/ZSxtYCQTL/</t>
  </si>
  <si>
    <t>R1,R2</t>
  </si>
  <si>
    <t>https://www.lcsc.com/product-detail/C23186.html</t>
  </si>
  <si>
    <t>Resistor 470Ω</t>
  </si>
  <si>
    <t>R3,R4</t>
  </si>
  <si>
    <t>https://www.lcsc.com/product-detail/C23179.html</t>
  </si>
  <si>
    <t>R5</t>
  </si>
  <si>
    <t>https://www.lcsc.com/product-detail/C25804.html</t>
  </si>
  <si>
    <t>Resistor 1.2kΩ</t>
  </si>
  <si>
    <t>https://www.lcsc.com/product-detail/C114605.html</t>
  </si>
  <si>
    <t>R7,R12</t>
  </si>
  <si>
    <t>https://www.lcsc.com/product-detail/C22548.html</t>
  </si>
  <si>
    <t>Resistor 110kΩ</t>
  </si>
  <si>
    <t>R8</t>
  </si>
  <si>
    <t>https://www.lcsc.com/product-detail/C25805.html</t>
  </si>
  <si>
    <t>Resistor 15kΩ</t>
  </si>
  <si>
    <t>R9</t>
  </si>
  <si>
    <t>https://www.lcsc.com/product-detail/C114661.html</t>
  </si>
  <si>
    <t>Resistor 56kΩ</t>
  </si>
  <si>
    <t>R10,R11</t>
  </si>
  <si>
    <t>https://www.lcsc.com/product-detail/C23206.html</t>
  </si>
  <si>
    <t>Resistor 100Ω</t>
  </si>
  <si>
    <t>R13</t>
  </si>
  <si>
    <t>https://www.lcsc.com/product-detail/C105588.html</t>
  </si>
  <si>
    <t>C1,C2</t>
  </si>
  <si>
    <t>C3,C4</t>
  </si>
  <si>
    <t>https://www.lcsc.com/product-detail/C86295.html</t>
  </si>
  <si>
    <t>C6</t>
  </si>
  <si>
    <t>https://www.lcsc.com/product-detail/C160831.html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</si>
</sst>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Poppins"/>
    </font>
    <font>
      <u/>
      <color rgb="FF0000FF"/>
      <name val="Poppins"/>
    </font>
    <font>
      <color theme="1"/>
      <name val="Arial"/>
      <scheme val="minor"/>
    </font>
    <font>
      <sz val="11.0"/>
      <color rgb="FF1C1F23"/>
      <name val="Poppins"/>
    </font>
    <font>
      <u/>
      <color rgb="FF0000FF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wrapText="1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csc.com/product-detail/C46641016.html" TargetMode="External"/><Relationship Id="rId11" Type="http://schemas.openxmlformats.org/officeDocument/2006/relationships/hyperlink" Target="https://www.lcsc.com/product-detail/C11702.html" TargetMode="External"/><Relationship Id="rId22" Type="http://schemas.openxmlformats.org/officeDocument/2006/relationships/hyperlink" Target="https://www.lcsc.com/product-detail/C60490.html" TargetMode="External"/><Relationship Id="rId10" Type="http://schemas.openxmlformats.org/officeDocument/2006/relationships/hyperlink" Target="https://www.lcsc.com/product-detail/C88993.html" TargetMode="External"/><Relationship Id="rId21" Type="http://schemas.openxmlformats.org/officeDocument/2006/relationships/hyperlink" Target="https://www.lcsc.com/product-detail/C5116479.html" TargetMode="External"/><Relationship Id="rId13" Type="http://schemas.openxmlformats.org/officeDocument/2006/relationships/hyperlink" Target="https://www.lcsc.com/product-detail/C15849.html" TargetMode="External"/><Relationship Id="rId12" Type="http://schemas.openxmlformats.org/officeDocument/2006/relationships/hyperlink" Target="https://www.lcsc.com/product-detail/C1525.html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lcsc.com/product-detail/C5366877.html" TargetMode="External"/><Relationship Id="rId2" Type="http://schemas.openxmlformats.org/officeDocument/2006/relationships/hyperlink" Target="https://www.lcsc.com/product-detail/C2682285.html" TargetMode="External"/><Relationship Id="rId3" Type="http://schemas.openxmlformats.org/officeDocument/2006/relationships/hyperlink" Target="https://www.lcsc.com/product-detail/C2827654.html" TargetMode="External"/><Relationship Id="rId4" Type="http://schemas.openxmlformats.org/officeDocument/2006/relationships/hyperlink" Target="https://www.lcsc.com/product-detail/C2888493.html" TargetMode="External"/><Relationship Id="rId9" Type="http://schemas.openxmlformats.org/officeDocument/2006/relationships/hyperlink" Target="https://www.lcsc.com/product-detail/C7465997.html" TargetMode="External"/><Relationship Id="rId15" Type="http://schemas.openxmlformats.org/officeDocument/2006/relationships/hyperlink" Target="https://www.lcsc.com/product-detail/C19702.html" TargetMode="External"/><Relationship Id="rId14" Type="http://schemas.openxmlformats.org/officeDocument/2006/relationships/hyperlink" Target="https://www.lcsc.com/product-detail/C165948.html" TargetMode="External"/><Relationship Id="rId17" Type="http://schemas.openxmlformats.org/officeDocument/2006/relationships/hyperlink" Target="https://www.lcsc.com/product-detail/C25879.html" TargetMode="External"/><Relationship Id="rId16" Type="http://schemas.openxmlformats.org/officeDocument/2006/relationships/hyperlink" Target="https://www.lcsc.com/product-detail/C231329.html" TargetMode="External"/><Relationship Id="rId5" Type="http://schemas.openxmlformats.org/officeDocument/2006/relationships/hyperlink" Target="https://www.lcsc.com/product-detail/C3750685.html" TargetMode="External"/><Relationship Id="rId19" Type="http://schemas.openxmlformats.org/officeDocument/2006/relationships/hyperlink" Target="https://www.lcsc.com/product-detail/C45783.html" TargetMode="External"/><Relationship Id="rId6" Type="http://schemas.openxmlformats.org/officeDocument/2006/relationships/hyperlink" Target="https://www.lcsc.com/product-detail/C49246964.html" TargetMode="External"/><Relationship Id="rId18" Type="http://schemas.openxmlformats.org/officeDocument/2006/relationships/hyperlink" Target="https://www.lcsc.com/product-detail/C25905.html" TargetMode="External"/><Relationship Id="rId7" Type="http://schemas.openxmlformats.org/officeDocument/2006/relationships/hyperlink" Target="https://www.lcsc.com/product-detail/C727113.html" TargetMode="External"/><Relationship Id="rId8" Type="http://schemas.openxmlformats.org/officeDocument/2006/relationships/hyperlink" Target="https://www.lcsc.com/product-detail/C7420351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csc.com/product-detail/C105588.html" TargetMode="External"/><Relationship Id="rId11" Type="http://schemas.openxmlformats.org/officeDocument/2006/relationships/hyperlink" Target="https://tk.tokopedia.com/ZSxtYCQTL/" TargetMode="External"/><Relationship Id="rId22" Type="http://schemas.openxmlformats.org/officeDocument/2006/relationships/hyperlink" Target="https://www.lcsc.com/product-detail/C86295.html" TargetMode="External"/><Relationship Id="rId10" Type="http://schemas.openxmlformats.org/officeDocument/2006/relationships/hyperlink" Target="https://www.lcsc.com/product-detail/C295747.html?globalKeyword=C295747&amp;s_z=n_q_C295747" TargetMode="External"/><Relationship Id="rId21" Type="http://schemas.openxmlformats.org/officeDocument/2006/relationships/hyperlink" Target="https://www.lcsc.com/product-detail/C19702.html" TargetMode="External"/><Relationship Id="rId13" Type="http://schemas.openxmlformats.org/officeDocument/2006/relationships/hyperlink" Target="https://www.lcsc.com/product-detail/C23179.html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www.lcsc.com/product-detail/C23186.html" TargetMode="External"/><Relationship Id="rId23" Type="http://schemas.openxmlformats.org/officeDocument/2006/relationships/hyperlink" Target="https://www.lcsc.com/product-detail/C160831.html" TargetMode="External"/><Relationship Id="rId1" Type="http://schemas.openxmlformats.org/officeDocument/2006/relationships/hyperlink" Target="https://www.lcsc.com/product-detail/C382139.html?globalKeyword=C382139&amp;s_z=n_q_C382139" TargetMode="External"/><Relationship Id="rId2" Type="http://schemas.openxmlformats.org/officeDocument/2006/relationships/hyperlink" Target="https://www.lcsc.com/product-detail/C351410.html?globalKeyword=C351410&amp;s_z=n_q_C351410" TargetMode="External"/><Relationship Id="rId3" Type="http://schemas.openxmlformats.org/officeDocument/2006/relationships/hyperlink" Target="https://www.lcsc.com/product-detail/C84817.html?globalKeyword=C84817&amp;s_z=n_q_C84817" TargetMode="External"/><Relationship Id="rId4" Type="http://schemas.openxmlformats.org/officeDocument/2006/relationships/hyperlink" Target="https://www.lcsc.com/product-detail/C2830320.html?globalKeyword=C2830320&amp;s_z=n_q_C2830320" TargetMode="External"/><Relationship Id="rId9" Type="http://schemas.openxmlformats.org/officeDocument/2006/relationships/hyperlink" Target="https://www.lcsc.com/product-detail/C167208.html?globalKeyword=C167208&amp;s_z=n_q_C167208" TargetMode="External"/><Relationship Id="rId15" Type="http://schemas.openxmlformats.org/officeDocument/2006/relationships/hyperlink" Target="https://www.lcsc.com/product-detail/C114605.html" TargetMode="External"/><Relationship Id="rId14" Type="http://schemas.openxmlformats.org/officeDocument/2006/relationships/hyperlink" Target="https://www.lcsc.com/product-detail/C25804.html" TargetMode="External"/><Relationship Id="rId17" Type="http://schemas.openxmlformats.org/officeDocument/2006/relationships/hyperlink" Target="https://www.lcsc.com/product-detail/C25805.html" TargetMode="External"/><Relationship Id="rId16" Type="http://schemas.openxmlformats.org/officeDocument/2006/relationships/hyperlink" Target="https://www.lcsc.com/product-detail/C22548.html" TargetMode="External"/><Relationship Id="rId5" Type="http://schemas.openxmlformats.org/officeDocument/2006/relationships/hyperlink" Target="https://www.lcsc.com/product-detail/C2765186.html?globalKeyword=C2765186&amp;s_z=n_q_C2765186" TargetMode="External"/><Relationship Id="rId19" Type="http://schemas.openxmlformats.org/officeDocument/2006/relationships/hyperlink" Target="https://www.lcsc.com/product-detail/C23206.html" TargetMode="External"/><Relationship Id="rId6" Type="http://schemas.openxmlformats.org/officeDocument/2006/relationships/hyperlink" Target="https://www.lcsc.com/product-detail/C2286.html?globalKeyword=C2286&amp;s_z=n_q_C2286" TargetMode="External"/><Relationship Id="rId18" Type="http://schemas.openxmlformats.org/officeDocument/2006/relationships/hyperlink" Target="https://www.lcsc.com/product-detail/C114661.html" TargetMode="External"/><Relationship Id="rId7" Type="http://schemas.openxmlformats.org/officeDocument/2006/relationships/hyperlink" Target="https://www.lcsc.com/product-detail/C2297.html?globalKeyword=C2297&amp;s_z=n_q_C2297" TargetMode="External"/><Relationship Id="rId8" Type="http://schemas.openxmlformats.org/officeDocument/2006/relationships/hyperlink" Target="https://www.lcsc.com/product-detail/C2987539.html?globalKeyword=C2987539&amp;s_z=n_q_C2987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7.63"/>
    <col customWidth="1" min="8" max="8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1.0</v>
      </c>
      <c r="B2" s="4" t="s">
        <v>8</v>
      </c>
      <c r="C2" s="4" t="s">
        <v>9</v>
      </c>
      <c r="D2" s="5">
        <v>1.0</v>
      </c>
      <c r="E2" s="5">
        <v>4.3546</v>
      </c>
      <c r="F2" s="5">
        <v>4.3546</v>
      </c>
      <c r="G2" s="6" t="s">
        <v>10</v>
      </c>
      <c r="H2" s="3">
        <v>4.3546</v>
      </c>
    </row>
    <row r="3">
      <c r="A3" s="3">
        <v>2.0</v>
      </c>
      <c r="B3" s="4" t="s">
        <v>11</v>
      </c>
      <c r="C3" s="4" t="s">
        <v>12</v>
      </c>
      <c r="D3" s="5">
        <v>3.0</v>
      </c>
      <c r="E3" s="5">
        <v>0.0396</v>
      </c>
      <c r="F3" s="7">
        <f>D3*E3</f>
        <v>0.1188</v>
      </c>
      <c r="G3" s="6" t="s">
        <v>13</v>
      </c>
      <c r="H3" s="8">
        <f t="shared" ref="H3:H23" si="1">H2+F3</f>
        <v>4.4734</v>
      </c>
      <c r="I3" s="9"/>
    </row>
    <row r="4">
      <c r="A4" s="3">
        <v>3.0</v>
      </c>
      <c r="B4" s="4" t="s">
        <v>14</v>
      </c>
      <c r="C4" s="4" t="s">
        <v>15</v>
      </c>
      <c r="D4" s="5">
        <v>1.0</v>
      </c>
      <c r="E4" s="5">
        <v>0.041</v>
      </c>
      <c r="F4" s="5">
        <v>0.041</v>
      </c>
      <c r="G4" s="6" t="s">
        <v>16</v>
      </c>
      <c r="H4" s="8">
        <f t="shared" si="1"/>
        <v>4.5144</v>
      </c>
      <c r="I4" s="10"/>
    </row>
    <row r="5">
      <c r="A5" s="3">
        <v>4.0</v>
      </c>
      <c r="B5" s="4" t="s">
        <v>17</v>
      </c>
      <c r="C5" s="4" t="s">
        <v>18</v>
      </c>
      <c r="D5" s="5">
        <v>5.0</v>
      </c>
      <c r="E5" s="5">
        <v>0.0107</v>
      </c>
      <c r="F5" s="7">
        <f>D5*E5</f>
        <v>0.0535</v>
      </c>
      <c r="G5" s="6" t="s">
        <v>19</v>
      </c>
      <c r="H5" s="8">
        <f t="shared" si="1"/>
        <v>4.5679</v>
      </c>
      <c r="I5" s="10"/>
    </row>
    <row r="6">
      <c r="A6" s="3">
        <v>5.0</v>
      </c>
      <c r="B6" s="4" t="s">
        <v>20</v>
      </c>
      <c r="C6" s="4" t="s">
        <v>21</v>
      </c>
      <c r="D6" s="5">
        <v>1.0</v>
      </c>
      <c r="E6" s="5">
        <v>0.2975</v>
      </c>
      <c r="F6" s="5">
        <v>0.2975</v>
      </c>
      <c r="G6" s="6" t="s">
        <v>22</v>
      </c>
      <c r="H6" s="8">
        <f t="shared" si="1"/>
        <v>4.8654</v>
      </c>
      <c r="I6" s="10"/>
    </row>
    <row r="7">
      <c r="A7" s="3">
        <v>6.0</v>
      </c>
      <c r="B7" s="4" t="s">
        <v>23</v>
      </c>
      <c r="C7" s="4" t="s">
        <v>24</v>
      </c>
      <c r="D7" s="5">
        <v>1.0</v>
      </c>
      <c r="E7" s="5">
        <v>0.0316</v>
      </c>
      <c r="F7" s="5">
        <v>0.0316</v>
      </c>
      <c r="G7" s="6" t="s">
        <v>25</v>
      </c>
      <c r="H7" s="8">
        <f t="shared" si="1"/>
        <v>4.897</v>
      </c>
      <c r="I7" s="10"/>
    </row>
    <row r="8">
      <c r="A8" s="3">
        <v>7.0</v>
      </c>
      <c r="B8" s="4" t="s">
        <v>26</v>
      </c>
      <c r="C8" s="4" t="s">
        <v>27</v>
      </c>
      <c r="D8" s="5">
        <v>1.0</v>
      </c>
      <c r="E8" s="5">
        <v>0.0197</v>
      </c>
      <c r="F8" s="5">
        <v>0.0197</v>
      </c>
      <c r="G8" s="6" t="s">
        <v>28</v>
      </c>
      <c r="H8" s="8">
        <f t="shared" si="1"/>
        <v>4.9167</v>
      </c>
      <c r="I8" s="10"/>
    </row>
    <row r="9">
      <c r="A9" s="3">
        <v>8.0</v>
      </c>
      <c r="B9" s="4" t="s">
        <v>29</v>
      </c>
      <c r="C9" s="11" t="s">
        <v>30</v>
      </c>
      <c r="D9" s="5">
        <v>1.0</v>
      </c>
      <c r="E9" s="5">
        <v>0.0155</v>
      </c>
      <c r="F9" s="5">
        <v>0.0155</v>
      </c>
      <c r="G9" s="6" t="s">
        <v>31</v>
      </c>
      <c r="H9" s="8">
        <f t="shared" si="1"/>
        <v>4.9322</v>
      </c>
      <c r="I9" s="10"/>
    </row>
    <row r="10">
      <c r="A10" s="3">
        <v>9.0</v>
      </c>
      <c r="B10" s="4" t="s">
        <v>32</v>
      </c>
      <c r="C10" s="4" t="s">
        <v>33</v>
      </c>
      <c r="D10" s="5">
        <v>1.0</v>
      </c>
      <c r="E10" s="5">
        <v>5.3558</v>
      </c>
      <c r="F10" s="5">
        <v>5.3558</v>
      </c>
      <c r="G10" s="6" t="s">
        <v>34</v>
      </c>
      <c r="H10" s="8">
        <f t="shared" si="1"/>
        <v>10.288</v>
      </c>
      <c r="I10" s="10"/>
    </row>
    <row r="11">
      <c r="A11" s="3">
        <v>10.0</v>
      </c>
      <c r="B11" s="4" t="s">
        <v>35</v>
      </c>
      <c r="C11" s="4" t="s">
        <v>36</v>
      </c>
      <c r="D11" s="5">
        <v>1.0</v>
      </c>
      <c r="E11" s="5">
        <v>0.0308</v>
      </c>
      <c r="F11" s="5">
        <v>0.0308</v>
      </c>
      <c r="G11" s="6" t="s">
        <v>37</v>
      </c>
      <c r="H11" s="8">
        <f t="shared" si="1"/>
        <v>10.3188</v>
      </c>
      <c r="I11" s="10"/>
    </row>
    <row r="12">
      <c r="A12" s="3">
        <v>11.0</v>
      </c>
      <c r="B12" s="4" t="s">
        <v>38</v>
      </c>
      <c r="C12" s="4" t="s">
        <v>39</v>
      </c>
      <c r="D12" s="5">
        <v>1.0</v>
      </c>
      <c r="E12" s="5">
        <v>0.0011</v>
      </c>
      <c r="F12" s="5">
        <v>0.0011</v>
      </c>
      <c r="G12" s="6" t="s">
        <v>40</v>
      </c>
      <c r="H12" s="8">
        <f t="shared" si="1"/>
        <v>10.3199</v>
      </c>
    </row>
    <row r="13">
      <c r="A13" s="3">
        <v>12.0</v>
      </c>
      <c r="B13" s="4" t="s">
        <v>41</v>
      </c>
      <c r="C13" s="4" t="s">
        <v>42</v>
      </c>
      <c r="D13" s="5">
        <v>2.0</v>
      </c>
      <c r="E13" s="5">
        <v>0.0016</v>
      </c>
      <c r="F13" s="7">
        <f t="shared" ref="F13:F14" si="2">D13*E13</f>
        <v>0.0032</v>
      </c>
      <c r="G13" s="6" t="s">
        <v>43</v>
      </c>
      <c r="H13" s="8">
        <f t="shared" si="1"/>
        <v>10.3231</v>
      </c>
    </row>
    <row r="14">
      <c r="A14" s="3">
        <v>13.0</v>
      </c>
      <c r="B14" s="4" t="s">
        <v>44</v>
      </c>
      <c r="C14" s="4" t="s">
        <v>45</v>
      </c>
      <c r="D14" s="5">
        <v>2.0</v>
      </c>
      <c r="E14" s="5">
        <v>0.0098</v>
      </c>
      <c r="F14" s="7">
        <f t="shared" si="2"/>
        <v>0.0196</v>
      </c>
      <c r="G14" s="6" t="s">
        <v>46</v>
      </c>
      <c r="H14" s="8">
        <f t="shared" si="1"/>
        <v>10.3427</v>
      </c>
    </row>
    <row r="15">
      <c r="A15" s="3">
        <v>14.0</v>
      </c>
      <c r="B15" s="4" t="s">
        <v>47</v>
      </c>
      <c r="C15" s="4" t="s">
        <v>48</v>
      </c>
      <c r="D15" s="5">
        <v>1.0</v>
      </c>
      <c r="E15" s="5">
        <v>0.1725</v>
      </c>
      <c r="F15" s="5">
        <v>0.1725</v>
      </c>
      <c r="G15" s="6" t="s">
        <v>49</v>
      </c>
      <c r="H15" s="8">
        <f t="shared" si="1"/>
        <v>10.5152</v>
      </c>
    </row>
    <row r="16">
      <c r="A16" s="3">
        <v>15.0</v>
      </c>
      <c r="B16" s="4" t="s">
        <v>50</v>
      </c>
      <c r="C16" s="4" t="s">
        <v>51</v>
      </c>
      <c r="D16" s="5">
        <v>1.0</v>
      </c>
      <c r="E16" s="5">
        <v>0.25</v>
      </c>
      <c r="F16" s="5">
        <v>0.25</v>
      </c>
      <c r="G16" s="6" t="s">
        <v>52</v>
      </c>
      <c r="H16" s="8">
        <f t="shared" si="1"/>
        <v>10.7652</v>
      </c>
    </row>
    <row r="17">
      <c r="A17" s="3">
        <v>16.0</v>
      </c>
      <c r="B17" s="4" t="s">
        <v>53</v>
      </c>
      <c r="C17" s="4" t="s">
        <v>54</v>
      </c>
      <c r="D17" s="5">
        <v>3.0</v>
      </c>
      <c r="E17" s="5">
        <v>0.1781</v>
      </c>
      <c r="F17" s="5">
        <f>D17*E17</f>
        <v>0.5343</v>
      </c>
      <c r="G17" s="6" t="s">
        <v>55</v>
      </c>
      <c r="H17" s="8">
        <f t="shared" si="1"/>
        <v>11.2995</v>
      </c>
    </row>
    <row r="18">
      <c r="A18" s="3">
        <v>17.0</v>
      </c>
      <c r="B18" s="4" t="s">
        <v>56</v>
      </c>
      <c r="C18" s="4" t="s">
        <v>57</v>
      </c>
      <c r="D18" s="5">
        <v>2.0</v>
      </c>
      <c r="E18" s="5">
        <v>8.0E-4</v>
      </c>
      <c r="F18" s="5">
        <v>8.0E-4</v>
      </c>
      <c r="G18" s="6" t="s">
        <v>58</v>
      </c>
      <c r="H18" s="8">
        <f t="shared" si="1"/>
        <v>11.3003</v>
      </c>
    </row>
    <row r="19">
      <c r="A19" s="3">
        <v>18.0</v>
      </c>
      <c r="B19" s="4" t="s">
        <v>59</v>
      </c>
      <c r="C19" s="4" t="s">
        <v>60</v>
      </c>
      <c r="D19" s="5">
        <v>2.0</v>
      </c>
      <c r="E19" s="5">
        <v>9.0E-4</v>
      </c>
      <c r="F19" s="7">
        <f t="shared" ref="F19:F20" si="3">D19*E19</f>
        <v>0.0018</v>
      </c>
      <c r="G19" s="6" t="s">
        <v>61</v>
      </c>
      <c r="H19" s="8">
        <f t="shared" si="1"/>
        <v>11.3021</v>
      </c>
    </row>
    <row r="20">
      <c r="A20" s="3">
        <v>19.0</v>
      </c>
      <c r="B20" s="4" t="s">
        <v>62</v>
      </c>
      <c r="C20" s="4" t="s">
        <v>63</v>
      </c>
      <c r="D20" s="5">
        <v>2.0</v>
      </c>
      <c r="E20" s="5">
        <v>0.0618</v>
      </c>
      <c r="F20" s="7">
        <f t="shared" si="3"/>
        <v>0.1236</v>
      </c>
      <c r="G20" s="6" t="s">
        <v>64</v>
      </c>
      <c r="H20" s="8">
        <f t="shared" si="1"/>
        <v>11.4257</v>
      </c>
    </row>
    <row r="21">
      <c r="A21" s="3">
        <v>20.0</v>
      </c>
      <c r="B21" s="4" t="s">
        <v>65</v>
      </c>
      <c r="C21" s="4" t="s">
        <v>66</v>
      </c>
      <c r="D21" s="5">
        <v>1.0</v>
      </c>
      <c r="E21" s="5">
        <v>0.0599</v>
      </c>
      <c r="F21" s="5">
        <v>0.0599</v>
      </c>
      <c r="G21" s="6" t="s">
        <v>67</v>
      </c>
      <c r="H21" s="8">
        <f t="shared" si="1"/>
        <v>11.4856</v>
      </c>
    </row>
    <row r="22">
      <c r="A22" s="3">
        <v>21.0</v>
      </c>
      <c r="B22" s="4" t="s">
        <v>68</v>
      </c>
      <c r="C22" s="4" t="s">
        <v>69</v>
      </c>
      <c r="D22" s="5">
        <v>1.0</v>
      </c>
      <c r="E22" s="5">
        <v>0.0562</v>
      </c>
      <c r="F22" s="5">
        <v>0.0562</v>
      </c>
      <c r="G22" s="6" t="s">
        <v>70</v>
      </c>
      <c r="H22" s="8">
        <f t="shared" si="1"/>
        <v>11.5418</v>
      </c>
    </row>
    <row r="23">
      <c r="A23" s="3">
        <v>22.0</v>
      </c>
      <c r="B23" s="4" t="s">
        <v>71</v>
      </c>
      <c r="C23" s="4" t="s">
        <v>72</v>
      </c>
      <c r="D23" s="5">
        <v>3.0</v>
      </c>
      <c r="E23" s="5">
        <v>9.0E-4</v>
      </c>
      <c r="F23" s="7">
        <f>D23*E23</f>
        <v>0.0027</v>
      </c>
      <c r="G23" s="6" t="s">
        <v>73</v>
      </c>
      <c r="H23" s="8">
        <f t="shared" si="1"/>
        <v>11.5445</v>
      </c>
    </row>
    <row r="24">
      <c r="A24" s="3"/>
      <c r="B24" s="12"/>
      <c r="C24" s="12"/>
      <c r="D24" s="7"/>
      <c r="E24" s="7"/>
      <c r="F24" s="7"/>
      <c r="G24" s="13"/>
      <c r="H24" s="7"/>
    </row>
    <row r="25">
      <c r="A25" s="3"/>
      <c r="B25" s="12"/>
      <c r="C25" s="12"/>
      <c r="D25" s="7"/>
      <c r="E25" s="7"/>
      <c r="F25" s="7"/>
      <c r="G25" s="13"/>
      <c r="H25" s="7"/>
    </row>
    <row r="26">
      <c r="A26" s="3"/>
      <c r="B26" s="12"/>
      <c r="C26" s="12"/>
      <c r="D26" s="7"/>
      <c r="E26" s="7"/>
      <c r="F26" s="7"/>
      <c r="G26" s="13"/>
      <c r="H26" s="7"/>
    </row>
    <row r="27">
      <c r="A27" s="14"/>
      <c r="B27" s="12"/>
      <c r="C27" s="12"/>
      <c r="D27" s="7"/>
      <c r="E27" s="7"/>
      <c r="F27" s="7"/>
      <c r="G27" s="13"/>
      <c r="H27" s="7"/>
    </row>
    <row r="28">
      <c r="A28" s="14"/>
      <c r="B28" s="15"/>
      <c r="C28" s="15"/>
      <c r="D28" s="14"/>
      <c r="E28" s="14"/>
      <c r="F28" s="14"/>
      <c r="G28" s="16"/>
      <c r="H28" s="14"/>
    </row>
    <row r="29">
      <c r="A29" s="14"/>
      <c r="B29" s="14"/>
      <c r="C29" s="14"/>
      <c r="D29" s="14"/>
      <c r="E29" s="14"/>
      <c r="F29" s="14"/>
      <c r="G29" s="16"/>
      <c r="H29" s="14"/>
    </row>
    <row r="30">
      <c r="A30" s="14"/>
      <c r="B30" s="14"/>
      <c r="C30" s="14"/>
      <c r="D30" s="14"/>
      <c r="E30" s="14"/>
      <c r="F30" s="14"/>
      <c r="G30" s="14"/>
      <c r="H30" s="14"/>
    </row>
    <row r="31">
      <c r="A31" s="14"/>
      <c r="B31" s="14"/>
      <c r="C31" s="14"/>
      <c r="D31" s="14"/>
      <c r="E31" s="14"/>
      <c r="F31" s="14"/>
      <c r="G31" s="14"/>
      <c r="H31" s="14"/>
    </row>
    <row r="32">
      <c r="A32" s="14"/>
      <c r="B32" s="14"/>
      <c r="C32" s="14"/>
      <c r="D32" s="14"/>
      <c r="E32" s="14"/>
      <c r="F32" s="14"/>
      <c r="G32" s="14"/>
      <c r="H32" s="14"/>
    </row>
    <row r="33">
      <c r="A33" s="14"/>
      <c r="B33" s="14"/>
      <c r="C33" s="14"/>
      <c r="D33" s="14"/>
      <c r="E33" s="14"/>
      <c r="F33" s="14"/>
      <c r="G33" s="14"/>
      <c r="H33" s="14"/>
    </row>
    <row r="34">
      <c r="A34" s="14"/>
      <c r="B34" s="14"/>
      <c r="C34" s="14"/>
      <c r="D34" s="14"/>
      <c r="E34" s="14"/>
      <c r="F34" s="14"/>
      <c r="G34" s="14"/>
      <c r="H34" s="14"/>
    </row>
    <row r="35">
      <c r="A35" s="14"/>
      <c r="B35" s="14"/>
      <c r="C35" s="14"/>
      <c r="D35" s="14"/>
      <c r="E35" s="14"/>
      <c r="F35" s="14"/>
      <c r="G35" s="14"/>
      <c r="H35" s="14"/>
    </row>
    <row r="36">
      <c r="A36" s="14"/>
      <c r="B36" s="14"/>
      <c r="C36" s="14"/>
      <c r="D36" s="14"/>
      <c r="E36" s="14"/>
      <c r="F36" s="14"/>
      <c r="G36" s="14"/>
      <c r="H36" s="14"/>
    </row>
    <row r="37">
      <c r="A37" s="14"/>
      <c r="B37" s="14"/>
      <c r="C37" s="14"/>
      <c r="D37" s="14"/>
      <c r="E37" s="14"/>
      <c r="F37" s="14"/>
      <c r="G37" s="14"/>
      <c r="H37" s="14"/>
    </row>
    <row r="38">
      <c r="A38" s="14"/>
      <c r="B38" s="14"/>
      <c r="C38" s="14"/>
      <c r="D38" s="14"/>
      <c r="E38" s="14"/>
      <c r="F38" s="14"/>
      <c r="G38" s="14"/>
      <c r="H38" s="1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1.13"/>
    <col customWidth="1" min="8" max="8" width="24.25"/>
  </cols>
  <sheetData>
    <row r="1">
      <c r="A1" s="1" t="s">
        <v>0</v>
      </c>
      <c r="B1" s="17" t="s">
        <v>1</v>
      </c>
      <c r="C1" s="17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1.0</v>
      </c>
      <c r="B2" s="4" t="s">
        <v>74</v>
      </c>
      <c r="C2" s="4" t="s">
        <v>75</v>
      </c>
      <c r="D2" s="5">
        <v>1.0</v>
      </c>
      <c r="E2" s="18">
        <v>0.1194</v>
      </c>
      <c r="F2" s="18">
        <v>0.1194</v>
      </c>
      <c r="G2" s="6" t="s">
        <v>76</v>
      </c>
      <c r="H2" s="8">
        <f>F2</f>
        <v>0.1194</v>
      </c>
      <c r="I2" s="14"/>
    </row>
    <row r="3">
      <c r="A3" s="3">
        <v>2.0</v>
      </c>
      <c r="B3" s="4" t="s">
        <v>77</v>
      </c>
      <c r="C3" s="4" t="s">
        <v>78</v>
      </c>
      <c r="D3" s="5">
        <v>1.0</v>
      </c>
      <c r="E3" s="5">
        <v>0.0428</v>
      </c>
      <c r="F3" s="5">
        <v>0.0428</v>
      </c>
      <c r="G3" s="6" t="s">
        <v>79</v>
      </c>
      <c r="H3" s="8">
        <f t="shared" ref="H3:H10" si="1">H2+F3</f>
        <v>0.1622</v>
      </c>
      <c r="I3" s="14"/>
    </row>
    <row r="4">
      <c r="A4" s="3">
        <v>3.0</v>
      </c>
      <c r="B4" s="4" t="s">
        <v>80</v>
      </c>
      <c r="C4" s="4" t="s">
        <v>81</v>
      </c>
      <c r="D4" s="5">
        <v>1.0</v>
      </c>
      <c r="E4" s="5">
        <v>0.0786</v>
      </c>
      <c r="F4" s="5">
        <v>0.0786</v>
      </c>
      <c r="G4" s="6" t="s">
        <v>82</v>
      </c>
      <c r="H4" s="8">
        <f t="shared" si="1"/>
        <v>0.2408</v>
      </c>
      <c r="I4" s="14"/>
    </row>
    <row r="5">
      <c r="A5" s="3">
        <v>4.0</v>
      </c>
      <c r="B5" s="4" t="s">
        <v>83</v>
      </c>
      <c r="C5" s="4" t="s">
        <v>84</v>
      </c>
      <c r="D5" s="7"/>
      <c r="E5" s="5">
        <v>0.0575</v>
      </c>
      <c r="F5" s="5">
        <v>0.0575</v>
      </c>
      <c r="G5" s="6" t="s">
        <v>85</v>
      </c>
      <c r="H5" s="8">
        <f t="shared" si="1"/>
        <v>0.2983</v>
      </c>
      <c r="I5" s="14"/>
    </row>
    <row r="6">
      <c r="A6" s="3">
        <v>5.0</v>
      </c>
      <c r="B6" s="4" t="s">
        <v>86</v>
      </c>
      <c r="C6" s="4" t="s">
        <v>87</v>
      </c>
      <c r="D6" s="5">
        <v>2.0</v>
      </c>
      <c r="E6" s="5">
        <v>0.0742</v>
      </c>
      <c r="F6" s="7">
        <f>D6*E6</f>
        <v>0.1484</v>
      </c>
      <c r="G6" s="6" t="s">
        <v>88</v>
      </c>
      <c r="H6" s="8">
        <f t="shared" si="1"/>
        <v>0.4467</v>
      </c>
      <c r="I6" s="14"/>
    </row>
    <row r="7">
      <c r="A7" s="3">
        <v>6.0</v>
      </c>
      <c r="B7" s="4" t="s">
        <v>89</v>
      </c>
      <c r="C7" s="4" t="s">
        <v>90</v>
      </c>
      <c r="D7" s="5">
        <v>1.0</v>
      </c>
      <c r="E7" s="5">
        <v>0.007</v>
      </c>
      <c r="F7" s="5">
        <v>0.007</v>
      </c>
      <c r="G7" s="6" t="s">
        <v>91</v>
      </c>
      <c r="H7" s="8">
        <f t="shared" si="1"/>
        <v>0.4537</v>
      </c>
      <c r="I7" s="14"/>
    </row>
    <row r="8">
      <c r="A8" s="3">
        <v>7.0</v>
      </c>
      <c r="B8" s="4" t="s">
        <v>92</v>
      </c>
      <c r="C8" s="4" t="s">
        <v>93</v>
      </c>
      <c r="D8" s="5">
        <v>1.0</v>
      </c>
      <c r="E8" s="5">
        <v>0.0163</v>
      </c>
      <c r="F8" s="5">
        <v>0.0163</v>
      </c>
      <c r="G8" s="6" t="s">
        <v>94</v>
      </c>
      <c r="H8" s="8">
        <f t="shared" si="1"/>
        <v>0.47</v>
      </c>
      <c r="I8" s="14"/>
    </row>
    <row r="9">
      <c r="A9" s="3">
        <v>8.0</v>
      </c>
      <c r="B9" s="4" t="s">
        <v>95</v>
      </c>
      <c r="C9" s="4" t="s">
        <v>96</v>
      </c>
      <c r="D9" s="5">
        <v>1.0</v>
      </c>
      <c r="E9" s="5">
        <v>0.0381</v>
      </c>
      <c r="F9" s="5">
        <v>0.0381</v>
      </c>
      <c r="G9" s="6" t="s">
        <v>97</v>
      </c>
      <c r="H9" s="8">
        <f t="shared" si="1"/>
        <v>0.5081</v>
      </c>
      <c r="I9" s="14"/>
    </row>
    <row r="10">
      <c r="A10" s="3">
        <v>9.0</v>
      </c>
      <c r="B10" s="4" t="s">
        <v>98</v>
      </c>
      <c r="C10" s="4" t="s">
        <v>99</v>
      </c>
      <c r="D10" s="5">
        <v>1.0</v>
      </c>
      <c r="E10" s="5">
        <v>0.2076</v>
      </c>
      <c r="F10" s="5">
        <v>0.2076</v>
      </c>
      <c r="G10" s="6" t="s">
        <v>100</v>
      </c>
      <c r="H10" s="8">
        <f t="shared" si="1"/>
        <v>0.7157</v>
      </c>
      <c r="I10" s="14"/>
    </row>
    <row r="11">
      <c r="A11" s="3">
        <v>10.0</v>
      </c>
      <c r="B11" s="4" t="s">
        <v>101</v>
      </c>
      <c r="C11" s="4" t="s">
        <v>102</v>
      </c>
      <c r="D11" s="5">
        <v>1.0</v>
      </c>
      <c r="E11" s="5">
        <v>0.204</v>
      </c>
      <c r="F11" s="5">
        <v>0.204</v>
      </c>
      <c r="G11" s="6" t="s">
        <v>103</v>
      </c>
      <c r="H11" s="8">
        <f>H10+E11</f>
        <v>0.9197</v>
      </c>
      <c r="I11" s="14"/>
    </row>
    <row r="12">
      <c r="A12" s="3">
        <v>11.0</v>
      </c>
      <c r="B12" s="4" t="s">
        <v>104</v>
      </c>
      <c r="C12" s="4" t="s">
        <v>105</v>
      </c>
      <c r="D12" s="5">
        <v>1.0</v>
      </c>
      <c r="E12" s="5">
        <v>4.83</v>
      </c>
      <c r="F12" s="5">
        <v>4.83</v>
      </c>
      <c r="G12" s="6" t="s">
        <v>106</v>
      </c>
      <c r="H12" s="8">
        <f t="shared" ref="H12:H24" si="2">H11+F12</f>
        <v>5.7497</v>
      </c>
      <c r="I12" s="14"/>
    </row>
    <row r="13">
      <c r="A13" s="3">
        <v>12.0</v>
      </c>
      <c r="B13" s="4" t="s">
        <v>59</v>
      </c>
      <c r="C13" s="4" t="s">
        <v>107</v>
      </c>
      <c r="D13" s="5">
        <v>2.0</v>
      </c>
      <c r="E13" s="5">
        <v>3.0E-4</v>
      </c>
      <c r="F13" s="7">
        <f t="shared" ref="F13:F24" si="3">D13*E13</f>
        <v>0.0006</v>
      </c>
      <c r="G13" s="6" t="s">
        <v>108</v>
      </c>
      <c r="H13" s="8">
        <f t="shared" si="2"/>
        <v>5.7503</v>
      </c>
      <c r="I13" s="14"/>
    </row>
    <row r="14">
      <c r="A14" s="3">
        <v>13.0</v>
      </c>
      <c r="B14" s="4" t="s">
        <v>109</v>
      </c>
      <c r="C14" s="4" t="s">
        <v>110</v>
      </c>
      <c r="D14" s="5">
        <v>2.0</v>
      </c>
      <c r="E14" s="5">
        <v>3.0E-4</v>
      </c>
      <c r="F14" s="7">
        <f t="shared" si="3"/>
        <v>0.0006</v>
      </c>
      <c r="G14" s="6" t="s">
        <v>111</v>
      </c>
      <c r="H14" s="8">
        <f t="shared" si="2"/>
        <v>5.7509</v>
      </c>
      <c r="I14" s="14"/>
    </row>
    <row r="15">
      <c r="A15" s="3">
        <v>14.0</v>
      </c>
      <c r="B15" s="4" t="s">
        <v>71</v>
      </c>
      <c r="C15" s="4" t="s">
        <v>112</v>
      </c>
      <c r="D15" s="5">
        <v>1.0</v>
      </c>
      <c r="E15" s="5">
        <v>3.0E-4</v>
      </c>
      <c r="F15" s="7">
        <f t="shared" si="3"/>
        <v>0.0003</v>
      </c>
      <c r="G15" s="6" t="s">
        <v>113</v>
      </c>
      <c r="H15" s="8">
        <f t="shared" si="2"/>
        <v>5.7512</v>
      </c>
      <c r="I15" s="14"/>
    </row>
    <row r="16">
      <c r="A16" s="3">
        <v>15.0</v>
      </c>
      <c r="B16" s="4" t="s">
        <v>114</v>
      </c>
      <c r="C16" s="4" t="s">
        <v>39</v>
      </c>
      <c r="D16" s="5">
        <v>1.0</v>
      </c>
      <c r="E16" s="5">
        <v>3.0E-4</v>
      </c>
      <c r="F16" s="7">
        <f t="shared" si="3"/>
        <v>0.0003</v>
      </c>
      <c r="G16" s="6" t="s">
        <v>115</v>
      </c>
      <c r="H16" s="8">
        <f t="shared" si="2"/>
        <v>5.7515</v>
      </c>
      <c r="I16" s="14"/>
    </row>
    <row r="17">
      <c r="A17" s="3">
        <v>16.0</v>
      </c>
      <c r="B17" s="4" t="s">
        <v>38</v>
      </c>
      <c r="C17" s="4" t="s">
        <v>116</v>
      </c>
      <c r="D17" s="5">
        <v>2.0</v>
      </c>
      <c r="E17" s="5">
        <v>3.0E-4</v>
      </c>
      <c r="F17" s="7">
        <f t="shared" si="3"/>
        <v>0.0006</v>
      </c>
      <c r="G17" s="6" t="s">
        <v>117</v>
      </c>
      <c r="H17" s="8">
        <f t="shared" si="2"/>
        <v>5.7521</v>
      </c>
      <c r="I17" s="14"/>
    </row>
    <row r="18">
      <c r="A18" s="3">
        <v>17.0</v>
      </c>
      <c r="B18" s="5" t="s">
        <v>118</v>
      </c>
      <c r="C18" s="5" t="s">
        <v>119</v>
      </c>
      <c r="D18" s="5">
        <v>1.0</v>
      </c>
      <c r="E18" s="5">
        <v>2.0E-4</v>
      </c>
      <c r="F18" s="7">
        <f t="shared" si="3"/>
        <v>0.0002</v>
      </c>
      <c r="G18" s="6" t="s">
        <v>120</v>
      </c>
      <c r="H18" s="8">
        <f t="shared" si="2"/>
        <v>5.7523</v>
      </c>
      <c r="I18" s="14"/>
    </row>
    <row r="19">
      <c r="A19" s="3">
        <v>18.0</v>
      </c>
      <c r="B19" s="5" t="s">
        <v>121</v>
      </c>
      <c r="C19" s="5" t="s">
        <v>122</v>
      </c>
      <c r="D19" s="5">
        <v>1.0</v>
      </c>
      <c r="E19" s="5">
        <v>3.0E-4</v>
      </c>
      <c r="F19" s="7">
        <f t="shared" si="3"/>
        <v>0.0003</v>
      </c>
      <c r="G19" s="6" t="s">
        <v>123</v>
      </c>
      <c r="H19" s="8">
        <f t="shared" si="2"/>
        <v>5.7526</v>
      </c>
      <c r="I19" s="14"/>
    </row>
    <row r="20">
      <c r="A20" s="3">
        <v>19.0</v>
      </c>
      <c r="B20" s="5" t="s">
        <v>124</v>
      </c>
      <c r="C20" s="5" t="s">
        <v>125</v>
      </c>
      <c r="D20" s="5">
        <v>2.0</v>
      </c>
      <c r="E20" s="5">
        <v>3.0E-4</v>
      </c>
      <c r="F20" s="7">
        <f t="shared" si="3"/>
        <v>0.0006</v>
      </c>
      <c r="G20" s="6" t="s">
        <v>126</v>
      </c>
      <c r="H20" s="8">
        <f t="shared" si="2"/>
        <v>5.7532</v>
      </c>
      <c r="I20" s="14"/>
    </row>
    <row r="21">
      <c r="A21" s="3">
        <v>20.0</v>
      </c>
      <c r="B21" s="5" t="s">
        <v>127</v>
      </c>
      <c r="C21" s="5" t="s">
        <v>128</v>
      </c>
      <c r="D21" s="5">
        <v>1.0</v>
      </c>
      <c r="E21" s="5">
        <v>3.0E-4</v>
      </c>
      <c r="F21" s="7">
        <f t="shared" si="3"/>
        <v>0.0003</v>
      </c>
      <c r="G21" s="6" t="s">
        <v>129</v>
      </c>
      <c r="H21" s="8">
        <f t="shared" si="2"/>
        <v>5.7535</v>
      </c>
      <c r="I21" s="14"/>
    </row>
    <row r="22">
      <c r="A22" s="3">
        <v>21.0</v>
      </c>
      <c r="B22" s="5" t="s">
        <v>50</v>
      </c>
      <c r="C22" s="5" t="s">
        <v>130</v>
      </c>
      <c r="D22" s="5">
        <v>2.0</v>
      </c>
      <c r="E22" s="5">
        <v>0.0019</v>
      </c>
      <c r="F22" s="7">
        <f t="shared" si="3"/>
        <v>0.0038</v>
      </c>
      <c r="G22" s="6" t="s">
        <v>52</v>
      </c>
      <c r="H22" s="8">
        <f t="shared" si="2"/>
        <v>5.7573</v>
      </c>
      <c r="I22" s="14"/>
    </row>
    <row r="23">
      <c r="A23" s="3">
        <v>22.0</v>
      </c>
      <c r="B23" s="5" t="s">
        <v>62</v>
      </c>
      <c r="C23" s="5" t="s">
        <v>131</v>
      </c>
      <c r="D23" s="5">
        <v>2.0</v>
      </c>
      <c r="E23" s="5">
        <v>0.0027</v>
      </c>
      <c r="F23" s="7">
        <f t="shared" si="3"/>
        <v>0.0054</v>
      </c>
      <c r="G23" s="19" t="s">
        <v>132</v>
      </c>
      <c r="H23" s="8">
        <f t="shared" si="2"/>
        <v>5.7627</v>
      </c>
    </row>
    <row r="24">
      <c r="A24" s="3">
        <v>23.0</v>
      </c>
      <c r="B24" s="5" t="s">
        <v>41</v>
      </c>
      <c r="C24" s="5" t="s">
        <v>133</v>
      </c>
      <c r="D24" s="5">
        <v>1.0</v>
      </c>
      <c r="E24" s="5">
        <v>3.0E-4</v>
      </c>
      <c r="F24" s="7">
        <f t="shared" si="3"/>
        <v>0.0003</v>
      </c>
      <c r="G24" s="19" t="s">
        <v>134</v>
      </c>
      <c r="H24" s="8">
        <f t="shared" si="2"/>
        <v>5.763</v>
      </c>
    </row>
    <row r="25">
      <c r="A25" s="10"/>
      <c r="B25" s="10"/>
      <c r="C25" s="10"/>
      <c r="D25" s="10"/>
      <c r="E25" s="10"/>
      <c r="F25" s="10"/>
      <c r="G25" s="10"/>
      <c r="H25" s="2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drawing r:id="rId24"/>
</worksheet>
</file>